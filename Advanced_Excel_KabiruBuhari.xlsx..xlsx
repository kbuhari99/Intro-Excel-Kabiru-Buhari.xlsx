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361D2728-30EF-48FC-B571-9669C766C705}" xr6:coauthVersionLast="47" xr6:coauthVersionMax="47" xr10:uidLastSave="{00000000-0000-0000-0000-000000000000}"/>
  <bookViews>
    <workbookView xWindow="-108" yWindow="-108" windowWidth="23256" windowHeight="12456" tabRatio="808" firstSheet="1" activeTab="6" xr2:uid="{00000000-000D-0000-FFFF-FFFF00000000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8" l="1" a="1"/>
  <c r="C24" i="8" s="1"/>
  <c r="C23" i="8"/>
  <c r="C19" i="8"/>
  <c r="C15" i="8"/>
  <c r="C11" i="8"/>
  <c r="C12" i="8"/>
  <c r="C7" i="8"/>
  <c r="C6" i="8"/>
  <c r="C5" i="8"/>
  <c r="C4" i="8"/>
  <c r="C3" i="8"/>
  <c r="C5" i="12"/>
  <c r="D5" i="12"/>
  <c r="B5" i="12"/>
  <c r="C4" i="12"/>
  <c r="D4" i="12"/>
  <c r="B4" i="12"/>
  <c r="B5" i="4"/>
  <c r="E12" i="5"/>
  <c r="E11" i="5"/>
  <c r="E10" i="5"/>
  <c r="E7" i="5"/>
  <c r="E6" i="5"/>
  <c r="E5" i="5"/>
  <c r="E4" i="5"/>
  <c r="E3" i="5"/>
  <c r="E2" i="5"/>
  <c r="F12" i="6"/>
  <c r="F11" i="6"/>
  <c r="F10" i="6"/>
  <c r="F9" i="6"/>
  <c r="F8" i="6" a="1"/>
  <c r="F8" i="6" s="1"/>
  <c r="F7" i="6"/>
  <c r="F6" i="6" a="1"/>
  <c r="F6" i="6" s="1"/>
  <c r="G3" i="6"/>
  <c r="G4" i="6"/>
  <c r="G2" i="6"/>
  <c r="F2" i="6" a="1"/>
  <c r="F2" i="6" s="1"/>
  <c r="A33" i="7"/>
  <c r="A32" i="7"/>
  <c r="B4" i="11"/>
  <c r="B3" i="11"/>
  <c r="A3" i="11"/>
  <c r="A2" i="11"/>
  <c r="A1" i="11"/>
  <c r="A5" i="10"/>
  <c r="A2" i="10"/>
  <c r="E8" i="9" a="1"/>
  <c r="E8" i="9"/>
  <c r="E3" i="9"/>
  <c r="B4" i="4"/>
  <c r="A30" i="7"/>
  <c r="A29" i="7"/>
  <c r="A26" i="7"/>
  <c r="A23" i="7"/>
  <c r="A19" i="7"/>
  <c r="A15" i="7"/>
  <c r="A11" i="7"/>
  <c r="A7" i="7"/>
  <c r="A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<sst xmlns="http://schemas.openxmlformats.org/spreadsheetml/2006/main" count="152" uniqueCount="73">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</sst>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22" fontId="0" fillId="0" borderId="0" xfId="0" applyNumberFormat="1"/>
    <xf numFmtId="0" fontId="2" fillId="0" borderId="0" xfId="1" applyFill="1"/>
    <xf numFmtId="9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sue@kevincookie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zoomScale="175" zoomScaleNormal="175" workbookViewId="0">
      <selection activeCell="E5" sqref="E5"/>
    </sheetView>
  </sheetViews>
  <sheetFormatPr defaultColWidth="9" defaultRowHeight="14.4"/>
  <cols>
    <col min="1" max="1" width="11.109375" customWidth="1"/>
    <col min="2" max="2" width="17" customWidth="1"/>
    <col min="3" max="3" width="16.88671875" customWidth="1"/>
    <col min="4" max="4" width="12.44140625" customWidth="1"/>
    <col min="6" max="6" width="2.33203125" customWidth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G1" s="1" t="s">
        <v>4</v>
      </c>
    </row>
    <row r="2" spans="1:7">
      <c r="A2" s="1" t="s">
        <v>5</v>
      </c>
      <c r="B2">
        <v>10</v>
      </c>
      <c r="C2">
        <v>8</v>
      </c>
      <c r="D2">
        <v>5</v>
      </c>
      <c r="G2" s="5">
        <v>0.1</v>
      </c>
    </row>
    <row r="3" spans="1:7">
      <c r="A3" s="1" t="s">
        <v>6</v>
      </c>
      <c r="B3">
        <v>4</v>
      </c>
      <c r="C3">
        <v>3</v>
      </c>
      <c r="D3">
        <v>2</v>
      </c>
    </row>
    <row r="4" spans="1:7">
      <c r="A4" s="1" t="s">
        <v>7</v>
      </c>
      <c r="B4">
        <f>B2-B3</f>
        <v>6</v>
      </c>
      <c r="C4">
        <f t="shared" ref="C4:D4" si="0">C2-C3</f>
        <v>5</v>
      </c>
      <c r="D4">
        <f t="shared" si="0"/>
        <v>3</v>
      </c>
    </row>
    <row r="5" spans="1:7">
      <c r="A5" s="1" t="s">
        <v>8</v>
      </c>
      <c r="B5">
        <f>B4*$G$2</f>
        <v>0.60000000000000009</v>
      </c>
      <c r="C5">
        <f t="shared" ref="C5:D5" si="1">C4*$G$2</f>
        <v>0.5</v>
      </c>
      <c r="D5">
        <f t="shared" si="1"/>
        <v>0.30000000000000004</v>
      </c>
    </row>
    <row r="6" spans="1:7">
      <c r="A6" s="1"/>
      <c r="C6" s="7"/>
    </row>
    <row r="7" spans="1:7">
      <c r="C7" s="7"/>
    </row>
    <row r="8" spans="1:7">
      <c r="C8" s="7"/>
    </row>
    <row r="9" spans="1:7">
      <c r="A9" s="1" t="s">
        <v>9</v>
      </c>
      <c r="C9" s="7"/>
      <c r="D9" s="2"/>
    </row>
    <row r="10" spans="1:7">
      <c r="C10" s="7"/>
      <c r="D10" s="2"/>
    </row>
    <row r="11" spans="1:7">
      <c r="C11" s="7"/>
    </row>
    <row r="12" spans="1:7">
      <c r="C12" s="7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topLeftCell="A9" zoomScale="220" zoomScaleNormal="220" workbookViewId="0">
      <selection activeCell="B3" sqref="B3"/>
    </sheetView>
  </sheetViews>
  <sheetFormatPr defaultColWidth="9" defaultRowHeight="14.4"/>
  <sheetData>
    <row r="1" spans="1:1">
      <c r="A1" s="1" t="s">
        <v>4</v>
      </c>
    </row>
    <row r="2" spans="1:1">
      <c r="A2" s="5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="265" zoomScaleNormal="265" workbookViewId="0">
      <selection activeCell="B6" sqref="B6"/>
    </sheetView>
  </sheetViews>
  <sheetFormatPr defaultColWidth="9" defaultRowHeight="14.4"/>
  <cols>
    <col min="2" max="2" width="14.44140625" customWidth="1"/>
  </cols>
  <sheetData>
    <row r="1" spans="1:4">
      <c r="B1" s="1" t="s">
        <v>0</v>
      </c>
      <c r="D1" s="1" t="s">
        <v>4</v>
      </c>
    </row>
    <row r="2" spans="1:4">
      <c r="A2" s="1" t="s">
        <v>5</v>
      </c>
      <c r="B2">
        <v>10</v>
      </c>
      <c r="D2" s="5">
        <v>0.1</v>
      </c>
    </row>
    <row r="3" spans="1:4">
      <c r="A3" s="1" t="s">
        <v>6</v>
      </c>
      <c r="B3">
        <v>4</v>
      </c>
    </row>
    <row r="4" spans="1:4">
      <c r="A4" s="1" t="s">
        <v>7</v>
      </c>
      <c r="B4">
        <f>B2-B3</f>
        <v>6</v>
      </c>
    </row>
    <row r="5" spans="1:4">
      <c r="A5" s="1" t="s">
        <v>8</v>
      </c>
      <c r="B5">
        <f>B4*D2</f>
        <v>0.60000000000000009</v>
      </c>
    </row>
    <row r="7" spans="1:4">
      <c r="A7" s="6" t="s">
        <v>10</v>
      </c>
    </row>
    <row r="8" spans="1:4">
      <c r="A8" s="6" t="s">
        <v>11</v>
      </c>
    </row>
    <row r="9" spans="1:4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zoomScale="175" zoomScaleNormal="175" workbookViewId="0">
      <selection activeCell="E13" sqref="E13"/>
    </sheetView>
  </sheetViews>
  <sheetFormatPr defaultColWidth="9" defaultRowHeight="14.4"/>
  <cols>
    <col min="1" max="1" width="13.6640625" customWidth="1"/>
    <col min="2" max="2" width="12.33203125" customWidth="1"/>
    <col min="3" max="3" width="3.109375" customWidth="1"/>
    <col min="4" max="4" width="28.33203125" customWidth="1"/>
    <col min="5" max="5" width="12" customWidth="1"/>
  </cols>
  <sheetData>
    <row r="1" spans="1:5">
      <c r="A1" s="1" t="s">
        <v>13</v>
      </c>
      <c r="B1" s="1" t="s">
        <v>14</v>
      </c>
    </row>
    <row r="2" spans="1:5">
      <c r="A2" t="s">
        <v>0</v>
      </c>
      <c r="B2">
        <v>97</v>
      </c>
      <c r="D2" t="s">
        <v>15</v>
      </c>
      <c r="E2">
        <f>SUM(B2:B8)</f>
        <v>421</v>
      </c>
    </row>
    <row r="3" spans="1:5">
      <c r="A3" t="s">
        <v>1</v>
      </c>
      <c r="B3">
        <v>77</v>
      </c>
      <c r="D3" t="s">
        <v>16</v>
      </c>
      <c r="E3">
        <f>MAX(B2:B8)</f>
        <v>97</v>
      </c>
    </row>
    <row r="4" spans="1:5">
      <c r="A4" t="s">
        <v>2</v>
      </c>
      <c r="B4">
        <v>67</v>
      </c>
      <c r="D4" t="s">
        <v>17</v>
      </c>
      <c r="E4">
        <f>MIN(B2:B8)</f>
        <v>36</v>
      </c>
    </row>
    <row r="5" spans="1:5">
      <c r="A5" t="s">
        <v>18</v>
      </c>
      <c r="B5">
        <v>52</v>
      </c>
      <c r="D5" t="s">
        <v>19</v>
      </c>
      <c r="E5">
        <f>LARGE(B2:B8,2)</f>
        <v>77</v>
      </c>
    </row>
    <row r="6" spans="1:5">
      <c r="A6" t="s">
        <v>20</v>
      </c>
      <c r="B6">
        <v>52</v>
      </c>
      <c r="D6" t="s">
        <v>21</v>
      </c>
      <c r="E6">
        <f>SMALL(B2:B8,2)</f>
        <v>40</v>
      </c>
    </row>
    <row r="7" spans="1:5">
      <c r="A7" t="s">
        <v>22</v>
      </c>
      <c r="B7">
        <v>40</v>
      </c>
      <c r="D7" t="s">
        <v>23</v>
      </c>
      <c r="E7">
        <f>COUNT(B2:B8)</f>
        <v>7</v>
      </c>
    </row>
    <row r="8" spans="1:5">
      <c r="A8" t="s">
        <v>24</v>
      </c>
      <c r="B8">
        <v>36</v>
      </c>
    </row>
    <row r="10" spans="1:5">
      <c r="D10" t="s">
        <v>25</v>
      </c>
      <c r="E10">
        <f>AVERAGE(B2:B8)</f>
        <v>60.142857142857146</v>
      </c>
    </row>
    <row r="11" spans="1:5">
      <c r="D11" t="s">
        <v>26</v>
      </c>
      <c r="E11">
        <f>MEDIAN(B2:B8)</f>
        <v>52</v>
      </c>
    </row>
    <row r="12" spans="1:5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topLeftCell="A2" zoomScale="130" zoomScaleNormal="130" workbookViewId="0">
      <selection activeCell="F13" sqref="F13"/>
    </sheetView>
  </sheetViews>
  <sheetFormatPr defaultColWidth="9" defaultRowHeight="14.4"/>
  <cols>
    <col min="1" max="2" width="15.6640625" customWidth="1"/>
    <col min="3" max="3" width="12.33203125" customWidth="1"/>
    <col min="5" max="5" width="17.6640625" customWidth="1"/>
    <col min="6" max="7" width="24.6640625" customWidth="1"/>
  </cols>
  <sheetData>
    <row r="1" spans="1:7">
      <c r="A1" s="1" t="s">
        <v>13</v>
      </c>
      <c r="B1" s="1" t="s">
        <v>28</v>
      </c>
      <c r="C1" s="1" t="s">
        <v>14</v>
      </c>
      <c r="F1" s="1"/>
    </row>
    <row r="2" spans="1:7">
      <c r="A2" t="s">
        <v>0</v>
      </c>
      <c r="B2" t="s">
        <v>29</v>
      </c>
      <c r="C2">
        <v>28</v>
      </c>
      <c r="E2" t="s">
        <v>30</v>
      </c>
      <c r="F2" t="str" cm="1">
        <f t="array" ref="F2:F4">_xlfn.UNIQUE(B2:B22)</f>
        <v>United States</v>
      </c>
      <c r="G2">
        <f>SUMIF(B2:B22,F2,C2:C22)</f>
        <v>362</v>
      </c>
    </row>
    <row r="3" spans="1:7">
      <c r="A3" t="s">
        <v>1</v>
      </c>
      <c r="B3" t="s">
        <v>29</v>
      </c>
      <c r="C3">
        <v>32</v>
      </c>
      <c r="F3" t="str">
        <v>India</v>
      </c>
      <c r="G3">
        <f t="shared" ref="G3:G4" si="0">SUMIF(B3:B23,F3,C3:C23)</f>
        <v>301</v>
      </c>
    </row>
    <row r="4" spans="1:7">
      <c r="A4" t="s">
        <v>2</v>
      </c>
      <c r="B4" t="s">
        <v>29</v>
      </c>
      <c r="C4">
        <v>52</v>
      </c>
      <c r="F4" t="str">
        <v>Philippines</v>
      </c>
      <c r="G4">
        <f t="shared" si="0"/>
        <v>440</v>
      </c>
    </row>
    <row r="5" spans="1:7">
      <c r="A5" t="s">
        <v>18</v>
      </c>
      <c r="B5" t="s">
        <v>29</v>
      </c>
      <c r="C5">
        <v>67</v>
      </c>
    </row>
    <row r="6" spans="1:7">
      <c r="A6" t="s">
        <v>20</v>
      </c>
      <c r="B6" t="s">
        <v>29</v>
      </c>
      <c r="C6">
        <v>44</v>
      </c>
      <c r="E6" t="s">
        <v>31</v>
      </c>
      <c r="F6" cm="1">
        <f t="array" ref="F6">SUM(SUMIFS(C2:C22,A2:A22,A5:A8,B2:B22,B9))</f>
        <v>154</v>
      </c>
    </row>
    <row r="7" spans="1:7">
      <c r="A7" t="s">
        <v>22</v>
      </c>
      <c r="B7" t="s">
        <v>29</v>
      </c>
      <c r="C7">
        <v>39</v>
      </c>
      <c r="E7" t="s">
        <v>32</v>
      </c>
      <c r="F7">
        <f>AVERAGEIF(B2:B22,F2,C2:C22)</f>
        <v>51.714285714285715</v>
      </c>
    </row>
    <row r="8" spans="1:7">
      <c r="A8" t="s">
        <v>24</v>
      </c>
      <c r="B8" t="s">
        <v>29</v>
      </c>
      <c r="C8">
        <v>100</v>
      </c>
      <c r="E8" t="s">
        <v>33</v>
      </c>
      <c r="F8" cm="1">
        <f t="array" ref="F8">AVERAGE(AVERAGEIFS(C2:C22,A2:A22,A2:A8,B2:B22,B16))</f>
        <v>62.857142857142854</v>
      </c>
    </row>
    <row r="9" spans="1:7">
      <c r="A9" t="s">
        <v>0</v>
      </c>
      <c r="B9" t="s">
        <v>34</v>
      </c>
      <c r="C9">
        <v>75</v>
      </c>
      <c r="E9" t="s">
        <v>35</v>
      </c>
      <c r="F9">
        <f>COUNTIF(B1:B22,B16)</f>
        <v>7</v>
      </c>
    </row>
    <row r="10" spans="1:7">
      <c r="A10" t="s">
        <v>1</v>
      </c>
      <c r="B10" t="s">
        <v>34</v>
      </c>
      <c r="C10">
        <v>32</v>
      </c>
      <c r="E10" t="s">
        <v>36</v>
      </c>
      <c r="F10">
        <f>COUNTIFS(A2:A22,A2,B2:B22,B8)</f>
        <v>1</v>
      </c>
    </row>
    <row r="11" spans="1:7">
      <c r="A11" t="s">
        <v>2</v>
      </c>
      <c r="B11" t="s">
        <v>34</v>
      </c>
      <c r="C11">
        <v>40</v>
      </c>
      <c r="E11" t="s">
        <v>37</v>
      </c>
      <c r="F11">
        <f>_xlfn.MINIFS(C1:C22,B1:B22,F3,A1:A22,A2)</f>
        <v>75</v>
      </c>
    </row>
    <row r="12" spans="1:7">
      <c r="A12" t="s">
        <v>18</v>
      </c>
      <c r="B12" t="s">
        <v>34</v>
      </c>
      <c r="C12">
        <v>21</v>
      </c>
      <c r="E12" t="s">
        <v>38</v>
      </c>
      <c r="F12">
        <f>_xlfn.MAXIFS(C1:C22,B1:B22,B16,A1:A22,A15)</f>
        <v>100</v>
      </c>
    </row>
    <row r="13" spans="1:7">
      <c r="A13" t="s">
        <v>20</v>
      </c>
      <c r="B13" t="s">
        <v>34</v>
      </c>
      <c r="C13">
        <v>58</v>
      </c>
    </row>
    <row r="14" spans="1:7">
      <c r="A14" t="s">
        <v>22</v>
      </c>
      <c r="B14" t="s">
        <v>34</v>
      </c>
      <c r="C14">
        <v>21</v>
      </c>
    </row>
    <row r="15" spans="1:7">
      <c r="A15" t="s">
        <v>24</v>
      </c>
      <c r="B15" t="s">
        <v>34</v>
      </c>
      <c r="C15">
        <v>54</v>
      </c>
    </row>
    <row r="16" spans="1:7">
      <c r="A16" t="s">
        <v>0</v>
      </c>
      <c r="B16" t="s">
        <v>39</v>
      </c>
      <c r="C16">
        <v>55</v>
      </c>
    </row>
    <row r="17" spans="1:3">
      <c r="A17" t="s">
        <v>1</v>
      </c>
      <c r="B17" t="s">
        <v>39</v>
      </c>
      <c r="C17">
        <v>41</v>
      </c>
    </row>
    <row r="18" spans="1:3">
      <c r="A18" t="s">
        <v>2</v>
      </c>
      <c r="B18" t="s">
        <v>39</v>
      </c>
      <c r="C18">
        <v>92</v>
      </c>
    </row>
    <row r="19" spans="1:3">
      <c r="A19" t="s">
        <v>18</v>
      </c>
      <c r="B19" t="s">
        <v>39</v>
      </c>
      <c r="C19">
        <v>89</v>
      </c>
    </row>
    <row r="20" spans="1:3">
      <c r="A20" t="s">
        <v>20</v>
      </c>
      <c r="B20" t="s">
        <v>39</v>
      </c>
      <c r="C20">
        <v>34</v>
      </c>
    </row>
    <row r="21" spans="1:3">
      <c r="A21" t="s">
        <v>22</v>
      </c>
      <c r="B21" t="s">
        <v>39</v>
      </c>
      <c r="C21">
        <v>29</v>
      </c>
    </row>
    <row r="22" spans="1:3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3"/>
  <sheetViews>
    <sheetView topLeftCell="A22" zoomScale="190" zoomScaleNormal="190" workbookViewId="0">
      <selection activeCell="A34" sqref="A34"/>
    </sheetView>
  </sheetViews>
  <sheetFormatPr defaultColWidth="9" defaultRowHeight="14.4"/>
  <cols>
    <col min="1" max="1" width="23.109375" customWidth="1"/>
  </cols>
  <sheetData>
    <row r="1" spans="1:3">
      <c r="A1" s="1" t="s">
        <v>40</v>
      </c>
    </row>
    <row r="2" spans="1:3">
      <c r="A2" t="s">
        <v>41</v>
      </c>
    </row>
    <row r="3" spans="1:3">
      <c r="A3" t="str">
        <f>PROPER(A2)</f>
        <v>Kevin Cookie Company</v>
      </c>
    </row>
    <row r="5" spans="1:3">
      <c r="A5" s="1" t="s">
        <v>42</v>
      </c>
    </row>
    <row r="6" spans="1:3">
      <c r="A6" t="s">
        <v>43</v>
      </c>
    </row>
    <row r="7" spans="1:3">
      <c r="A7" t="str">
        <f>TRIM(A6)</f>
        <v>Kevin Cookie Company</v>
      </c>
    </row>
    <row r="9" spans="1:3">
      <c r="A9" s="1" t="s">
        <v>44</v>
      </c>
    </row>
    <row r="10" spans="1:3">
      <c r="A10" t="s">
        <v>45</v>
      </c>
      <c r="B10" t="s">
        <v>46</v>
      </c>
      <c r="C10" t="s">
        <v>47</v>
      </c>
    </row>
    <row r="11" spans="1:3">
      <c r="A11" t="str">
        <f>_xlfn.CONCAT(A10," ",B10," ",C10)</f>
        <v>Kevin Cookie Company</v>
      </c>
    </row>
    <row r="13" spans="1:3">
      <c r="A13" s="1" t="s">
        <v>48</v>
      </c>
    </row>
    <row r="14" spans="1:3">
      <c r="A14" t="s">
        <v>45</v>
      </c>
      <c r="B14" t="s">
        <v>46</v>
      </c>
      <c r="C14" t="s">
        <v>47</v>
      </c>
    </row>
    <row r="15" spans="1:3">
      <c r="A15" t="str">
        <f>A14&amp;" "&amp;B14&amp;" "&amp;C14</f>
        <v>Kevin Cookie Company</v>
      </c>
    </row>
    <row r="17" spans="1:3">
      <c r="A17" s="1" t="s">
        <v>49</v>
      </c>
    </row>
    <row r="18" spans="1:3">
      <c r="A18" t="s">
        <v>45</v>
      </c>
      <c r="B18" t="s">
        <v>46</v>
      </c>
      <c r="C18" t="s">
        <v>47</v>
      </c>
    </row>
    <row r="19" spans="1:3">
      <c r="A19" t="str">
        <f>_xlfn.TEXTJOIN(" ",TRUE,A18,B18,C18)</f>
        <v>Kevin Cookie Company</v>
      </c>
    </row>
    <row r="21" spans="1:3">
      <c r="A21" s="1" t="s">
        <v>50</v>
      </c>
    </row>
    <row r="22" spans="1:3">
      <c r="A22" t="s">
        <v>51</v>
      </c>
    </row>
    <row r="23" spans="1:3">
      <c r="A23" t="str">
        <f>RIGHT(A22,5)</f>
        <v>05486</v>
      </c>
    </row>
    <row r="24" spans="1:3">
      <c r="A24" s="1" t="s">
        <v>52</v>
      </c>
    </row>
    <row r="25" spans="1:3">
      <c r="A25" t="s">
        <v>53</v>
      </c>
    </row>
    <row r="26" spans="1:3">
      <c r="A26">
        <f>LEN(A25)</f>
        <v>20</v>
      </c>
    </row>
    <row r="27" spans="1:3">
      <c r="A27" s="1" t="s">
        <v>54</v>
      </c>
    </row>
    <row r="28" spans="1:3">
      <c r="A28" s="4" t="s">
        <v>55</v>
      </c>
    </row>
    <row r="29" spans="1:3">
      <c r="A29">
        <f>FIND("@",A28)</f>
        <v>4</v>
      </c>
    </row>
    <row r="30" spans="1:3">
      <c r="A30">
        <f>SEARCH("kevin",A28,4)</f>
        <v>5</v>
      </c>
    </row>
    <row r="31" spans="1:3">
      <c r="A31" s="1" t="s">
        <v>56</v>
      </c>
    </row>
    <row r="32" spans="1:3">
      <c r="A32" t="str">
        <f>LEFT(A28,FIND("@",A28))</f>
        <v>sue@</v>
      </c>
    </row>
    <row r="33" spans="1:1">
      <c r="A33" t="str">
        <f>LEFT(A28,FIND("@",A28)-1)</f>
        <v>sue</v>
      </c>
    </row>
  </sheetData>
  <hyperlinks>
    <hyperlink ref="A28" r:id="rId1" xr:uid="{00000000-0004-0000-0500-000000000000}"/>
  </hyperlink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"/>
  <sheetViews>
    <sheetView tabSelected="1" topLeftCell="A12" zoomScale="145" zoomScaleNormal="145" workbookViewId="0">
      <selection activeCell="C25" sqref="C25"/>
    </sheetView>
  </sheetViews>
  <sheetFormatPr defaultColWidth="9" defaultRowHeight="14.4"/>
  <cols>
    <col min="1" max="1" width="21.6640625" customWidth="1"/>
    <col min="2" max="2" width="16.44140625" customWidth="1"/>
  </cols>
  <sheetData>
    <row r="1" spans="1:3">
      <c r="A1" s="1" t="s">
        <v>57</v>
      </c>
    </row>
    <row r="2" spans="1:3">
      <c r="A2" t="s">
        <v>53</v>
      </c>
      <c r="B2" t="s">
        <v>58</v>
      </c>
    </row>
    <row r="3" spans="1:3">
      <c r="A3">
        <v>10</v>
      </c>
      <c r="B3">
        <v>5</v>
      </c>
      <c r="C3" t="b">
        <f>A3=B3</f>
        <v>0</v>
      </c>
    </row>
    <row r="4" spans="1:3">
      <c r="B4">
        <v>11</v>
      </c>
      <c r="C4" t="b">
        <f>A3=B4</f>
        <v>0</v>
      </c>
    </row>
    <row r="5" spans="1:3">
      <c r="C5" t="b">
        <f>A3&gt;B4</f>
        <v>0</v>
      </c>
    </row>
    <row r="6" spans="1:3">
      <c r="C6" t="b">
        <f>B4&gt;A3</f>
        <v>1</v>
      </c>
    </row>
    <row r="7" spans="1:3">
      <c r="C7" t="b">
        <f>A3&gt;B3</f>
        <v>1</v>
      </c>
    </row>
    <row r="8" spans="1:3">
      <c r="A8" s="1"/>
    </row>
    <row r="9" spans="1:3">
      <c r="A9" s="1" t="s">
        <v>13</v>
      </c>
      <c r="B9" s="1" t="s">
        <v>14</v>
      </c>
      <c r="C9" s="1" t="s">
        <v>59</v>
      </c>
    </row>
    <row r="10" spans="1:3">
      <c r="A10" t="s">
        <v>0</v>
      </c>
      <c r="B10">
        <v>97</v>
      </c>
      <c r="C10" t="s">
        <v>60</v>
      </c>
    </row>
    <row r="11" spans="1:3">
      <c r="A11" t="s">
        <v>1</v>
      </c>
      <c r="B11">
        <v>150</v>
      </c>
      <c r="C11" t="str">
        <f>IF(B10&gt;B11,"Chocolate chip","Oatmeal Raisin")</f>
        <v>Oatmeal Raisin</v>
      </c>
    </row>
    <row r="12" spans="1:3">
      <c r="A12" t="s">
        <v>2</v>
      </c>
      <c r="B12">
        <v>60</v>
      </c>
      <c r="C12" t="str">
        <f>IF(B10&gt;=B12,"Chocolate Chip","Sugar Cookie")</f>
        <v>Chocolate Chip</v>
      </c>
    </row>
    <row r="13" spans="1:3">
      <c r="C13" s="1" t="s">
        <v>61</v>
      </c>
    </row>
    <row r="14" spans="1:3">
      <c r="C14" t="s">
        <v>62</v>
      </c>
    </row>
    <row r="15" spans="1:3">
      <c r="C15" t="str">
        <f>IF(AND(B10&gt;B11,B10&gt;B12),"yes","no")</f>
        <v>no</v>
      </c>
    </row>
    <row r="17" spans="1:5">
      <c r="C17" s="1" t="s">
        <v>63</v>
      </c>
    </row>
    <row r="18" spans="1:5">
      <c r="C18" t="s">
        <v>64</v>
      </c>
    </row>
    <row r="19" spans="1:5">
      <c r="C19" t="str">
        <f>IF(OR(B10&gt;B11,B10&gt;B12),"yes","no")</f>
        <v>yes</v>
      </c>
    </row>
    <row r="21" spans="1:5">
      <c r="A21" s="1" t="s">
        <v>65</v>
      </c>
      <c r="B21" s="1" t="s">
        <v>66</v>
      </c>
      <c r="C21" s="1" t="s">
        <v>67</v>
      </c>
    </row>
    <row r="22" spans="1:5">
      <c r="A22" t="s">
        <v>0</v>
      </c>
      <c r="B22">
        <v>10</v>
      </c>
      <c r="C22" t="s">
        <v>68</v>
      </c>
      <c r="E22" s="1" t="s">
        <v>2</v>
      </c>
    </row>
    <row r="23" spans="1:5">
      <c r="A23" t="s">
        <v>1</v>
      </c>
      <c r="B23">
        <v>8</v>
      </c>
      <c r="C23">
        <f>IF(E22=A22,B22,IF(E22=A23,B23,IF(E22=A24,B24,"unkown")))</f>
        <v>5</v>
      </c>
    </row>
    <row r="24" spans="1:5">
      <c r="A24" t="s">
        <v>2</v>
      </c>
      <c r="B24">
        <v>5</v>
      </c>
      <c r="C24" cm="1">
        <f t="array" ref="C24">_xlfn.IFS(E22=A22,B22,E22=A23,B23,E22=A24,B24)</f>
        <v>5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zoomScale="145" zoomScaleNormal="145" workbookViewId="0">
      <selection activeCell="G20" sqref="G20"/>
    </sheetView>
  </sheetViews>
  <sheetFormatPr defaultColWidth="9" defaultRowHeight="14.4"/>
  <cols>
    <col min="1" max="1" width="14.44140625" customWidth="1"/>
    <col min="3" max="3" width="11.5546875" customWidth="1"/>
    <col min="4" max="4" width="3.5546875" customWidth="1"/>
    <col min="5" max="5" width="19" customWidth="1"/>
  </cols>
  <sheetData>
    <row r="1" spans="1:6">
      <c r="A1" s="1" t="s">
        <v>65</v>
      </c>
      <c r="B1" s="1" t="s">
        <v>66</v>
      </c>
      <c r="C1" s="1" t="s">
        <v>6</v>
      </c>
      <c r="D1" s="1"/>
      <c r="E1" s="1" t="s">
        <v>69</v>
      </c>
    </row>
    <row r="2" spans="1:6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>
      <c r="A3" t="s">
        <v>1</v>
      </c>
      <c r="B3">
        <v>8</v>
      </c>
      <c r="C3">
        <v>3</v>
      </c>
      <c r="E3">
        <f>VLOOKUP(F2,A1:C4,2,FALSE)</f>
        <v>5</v>
      </c>
    </row>
    <row r="4" spans="1:6">
      <c r="A4" t="s">
        <v>2</v>
      </c>
      <c r="B4">
        <v>5</v>
      </c>
      <c r="C4">
        <v>2</v>
      </c>
    </row>
    <row r="5" spans="1:6">
      <c r="E5" s="1" t="s">
        <v>70</v>
      </c>
    </row>
    <row r="6" spans="1:6">
      <c r="E6" t="s">
        <v>68</v>
      </c>
      <c r="F6" t="s">
        <v>0</v>
      </c>
    </row>
    <row r="7" spans="1:6">
      <c r="E7" t="s">
        <v>66</v>
      </c>
      <c r="F7" t="s">
        <v>6</v>
      </c>
    </row>
    <row r="8" spans="1:6">
      <c r="E8" cm="1">
        <f t="array" ref="E8:F8">_xlfn.XLOOKUP(F6,A1:A4,B1:C4)</f>
        <v>10</v>
      </c>
      <c r="F8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5"/>
  <sheetViews>
    <sheetView zoomScale="250" zoomScaleNormal="250" workbookViewId="0">
      <selection activeCell="A6" sqref="A6"/>
    </sheetView>
  </sheetViews>
  <sheetFormatPr defaultColWidth="9" defaultRowHeight="14.4"/>
  <cols>
    <col min="1" max="1" width="15.44140625" customWidth="1"/>
  </cols>
  <sheetData>
    <row r="1" spans="1:1">
      <c r="A1" s="1" t="s">
        <v>71</v>
      </c>
    </row>
    <row r="2" spans="1:1">
      <c r="A2" s="2">
        <f ca="1">TODAY()</f>
        <v>46089</v>
      </c>
    </row>
    <row r="4" spans="1:1">
      <c r="A4" s="1" t="s">
        <v>72</v>
      </c>
    </row>
    <row r="5" spans="1:1">
      <c r="A5" s="3">
        <f ca="1">NOW()</f>
        <v>46089.601785648149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zoomScale="325" zoomScaleNormal="325" workbookViewId="0"/>
  </sheetViews>
  <sheetFormatPr defaultColWidth="9" defaultRowHeight="14.4"/>
  <sheetData>
    <row r="1" spans="1:2">
      <c r="A1">
        <f>5+4</f>
        <v>9</v>
      </c>
      <c r="B1">
        <v>1</v>
      </c>
    </row>
    <row r="2" spans="1:2">
      <c r="A2">
        <f>8-2</f>
        <v>6</v>
      </c>
      <c r="B2">
        <v>3</v>
      </c>
    </row>
    <row r="3" spans="1:2">
      <c r="A3">
        <f>A2+B2</f>
        <v>9</v>
      </c>
      <c r="B3">
        <f>4+2</f>
        <v>6</v>
      </c>
    </row>
    <row r="4" spans="1:2">
      <c r="A4">
        <v>3</v>
      </c>
      <c r="B4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Buhari Kabiru</cp:lastModifiedBy>
  <dcterms:created xsi:type="dcterms:W3CDTF">2022-05-10T22:30:00Z</dcterms:created>
  <dcterms:modified xsi:type="dcterms:W3CDTF">2026-03-08T13:27:14Z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23B0C3DF1D2E4D17852240B5FBA5737E_12</vt:lpwstr>
  </property>
  <property fmtid="{D5CDD505-2E9C-101B-9397-08002B2CF9AE}" pid="3" name="KSOProductBuildVer">
    <vt:lpwstr>1033-12.2.0.23196</vt:lpwstr>
  </property>
</Properties>
</file>